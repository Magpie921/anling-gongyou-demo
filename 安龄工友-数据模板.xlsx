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47d3f1cdc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a08f6a7e03d54a2c"/>
    <x:sheet xmlns:r="http://schemas.openxmlformats.org/officeDocument/2006/relationships" name="工友档案" sheetId="2" r:id="R81e7ed729b774bbd"/>
    <x:sheet xmlns:r="http://schemas.openxmlformats.org/officeDocument/2006/relationships" name="施工计划" sheetId="3" r:id="R939a64ae45984875"/>
    <x:sheet xmlns:r="http://schemas.openxmlformats.org/officeDocument/2006/relationships" name="人员分配" sheetId="4" r:id="Rfe1eaa5492484fcd"/>
    <x:sheet xmlns:r="http://schemas.openxmlformats.org/officeDocument/2006/relationships" name="字段字典" sheetId="5" r:id="R72fc63ef83b0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"/>
      <x:name val="Microsoft YaHei"/>
    </x:font>
    <x:font>
      <x:b/>
      <x:sz val="11"/>
      <x:color rgb="087F78"/>
      <x:name val="Carlito"/>
    </x:font>
    <x:font>
      <x:b/>
      <x:sz val="11"/>
      <x:color rgb="173149"/>
      <x:name val="Carlito"/>
    </x:font>
    <x:font>
      <x:b/>
      <x:sz val="16"/>
      <x:color rgb="087F78"/>
      <x:name val="Carlito"/>
    </x:font>
    <x:font>
      <x:sz val="10"/>
      <x:color rgb="087F78"/>
      <x:name val="Carlito"/>
    </x:font>
    <x:font>
      <x:b/>
      <x:sz val="11"/>
      <x:color rgb="FFFFFF"/>
      <x:name val="Microsoft YaHei"/>
    </x:font>
    <x:font>
      <x:sz val="1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173149"/>
      </x:patternFill>
    </x:fill>
    <x:fill>
      <x:patternFill patternType="solid">
        <x:fgColor rgb="E5F4F1"/>
      </x:patternFill>
    </x:fill>
    <x:fill>
      <x:patternFill patternType="solid">
        <x:fgColor rgb="F4F6F7"/>
      </x:patternFill>
    </x:fill>
    <x:fill>
      <x:patternFill patternType="solid">
        <x:fgColor rgb="087F78"/>
      </x:patternFill>
    </x:fill>
  </x:fills>
  <x:borders count="5">
    <x:border/>
    <x:border>
      <x:bottom>
        <x:color rgb="D9E1E5"/>
      </x:bottom>
    </x:border>
    <x:border>
      <x:left>
        <x:color rgb="087F78"/>
      </x:left>
      <x:top>
        <x:color rgb="087F78"/>
      </x:top>
      <x:bottom>
        <x:color rgb="087F78"/>
      </x:bottom>
    </x:border>
    <x:border>
      <x:top>
        <x:color rgb="087F78"/>
      </x:top>
      <x:bottom>
        <x:color rgb="087F78"/>
      </x:bottom>
    </x:border>
    <x:border>
      <x:right>
        <x:color rgb="087F78"/>
      </x:right>
      <x:top>
        <x:color rgb="087F78"/>
      </x:top>
      <x:bottom>
        <x:color rgb="087F78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horizontal="center"/>
    </x:xf>
    <x:xf numFmtId="0" fontId="6" fillId="5" borderId="3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horizontal="center"/>
    </x:xf>
    <x:xf numFmtId="0" fontId="6" fillId="5" borderId="2" xfId="0" applyNumberFormat="1" applyFont="1" applyFill="1" applyBorder="1" applyAlignment="1">
      <x:alignment horizontal="center" vertical="center"/>
    </x:xf>
    <x:xf numFmtId="0" fontId="6" fillId="5" borderId="3" xfId="0" applyNumberFormat="1" applyFont="1" applyFill="1" applyBorder="1" applyAlignment="1">
      <x:alignment horizontal="center" vertical="center"/>
    </x:xf>
    <x:xf numFmtId="0" fontId="6" fillId="5" borderId="4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9A5A0A"/>
      </x:font>
      <x:fill>
        <x:patternFill patternType="solid">
          <x:bgColor rgb="FFF2DD"/>
        </x:patternFill>
      </x:fill>
    </x:dxf>
    <x:dxf>
      <x:font>
        <x:b/>
        <x:color rgb="B9463D"/>
      </x:font>
      <x:fill>
        <x:patternFill patternType="solid">
          <x:bgColor rgb="FFEF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12faaf51540da" /><Relationship Type="http://schemas.openxmlformats.org/officeDocument/2006/relationships/theme" Target="/xl/theme/theme1.xml" Id="R2e0e3db43f304f11" /><Relationship Type="http://schemas.openxmlformats.org/officeDocument/2006/relationships/sharedStrings" Target="/xl/sharedStrings.xml" Id="Rccb4410c670d41b7" /><Relationship Type="http://schemas.openxmlformats.org/officeDocument/2006/relationships/worksheet" Target="/xl/worksheets/sheet1.xml" Id="Ra08f6a7e03d54a2c" /><Relationship Type="http://schemas.openxmlformats.org/officeDocument/2006/relationships/worksheet" Target="/xl/worksheets/sheet2.xml" Id="R81e7ed729b774bbd" /><Relationship Type="http://schemas.openxmlformats.org/officeDocument/2006/relationships/worksheet" Target="/xl/worksheets/sheet3.xml" Id="R939a64ae45984875" /><Relationship Type="http://schemas.openxmlformats.org/officeDocument/2006/relationships/worksheet" Target="/xl/worksheets/sheet4.xml" Id="Rfe1eaa5492484fcd" /><Relationship Type="http://schemas.openxmlformats.org/officeDocument/2006/relationships/worksheet" Target="/xl/worksheets/sheet5.xml" Id="R72fc63ef83b04556" /></Relationships>
</file>

<file path=xl/tables/table1.xml><?xml version="1.0" encoding="utf-8"?>
<x:table xmlns:x="http://schemas.openxmlformats.org/spreadsheetml/2006/main" id="1" name="WorkersV3Table" displayName="WorkersV3Table" ref="A4:L12" headerRowCount="1">
  <x:tableColumns count="12">
    <x:tableColumn id="1" name="工友编号"/>
    <x:tableColumn id="2" name="姓名"/>
    <x:tableColumn id="3" name="年龄"/>
    <x:tableColumn id="4" name="工种"/>
    <x:tableColumn id="5" name="工龄"/>
    <x:tableColumn id="6" name="证书/资格"/>
    <x:tableColumn id="7" name="证书编码"/>
    <x:tableColumn id="8" name="适岗标签"/>
    <x:tableColumn id="9" name="适岗信息来源"/>
    <x:tableColumn id="10" name="适岗有效期"/>
    <x:tableColumn id="11" name="技能经验"/>
    <x:tableColumn id="12" name="工作意愿"/>
  </x:tableColumns>
  <x:tableStyleInfo name="TableStyleMedium2" showRowStripes="1"/>
</x:table>
</file>

<file path=xl/tables/table2.xml><?xml version="1.0" encoding="utf-8"?>
<x:table xmlns:x="http://schemas.openxmlformats.org/spreadsheetml/2006/main" id="2" name="TasksV3Table" displayName="TasksV3Table" ref="A4:J10" headerRowCount="1">
  <x:tableColumns count="10">
    <x:tableColumn id="1" name="任务编号"/>
    <x:tableColumn id="2" name="作业任务"/>
    <x:tableColumn id="3" name="作业区域"/>
    <x:tableColumn id="4" name="开始时间"/>
    <x:tableColumn id="5" name="结束时间"/>
    <x:tableColumn id="6" name="作业环境"/>
    <x:tableColumn id="7" name="劳动强度"/>
    <x:tableColumn id="8" name="所需证书"/>
    <x:tableColumn id="9" name="证书要求编码"/>
    <x:tableColumn id="10" name="需求人数"/>
  </x:tableColumns>
  <x:tableStyleInfo name="TableStyleMedium2" showRowStripes="1"/>
</x:table>
</file>

<file path=xl/tables/table3.xml><?xml version="1.0" encoding="utf-8"?>
<x:table xmlns:x="http://schemas.openxmlformats.org/spreadsheetml/2006/main" id="3" name="AssignmentsV3Table" displayName="AssignmentsV3Table" ref="A4:E11" headerRowCount="1">
  <x:tableColumns count="5">
    <x:tableColumn id="1" name="分配编号"/>
    <x:tableColumn id="2" name="任务编号"/>
    <x:tableColumn id="3" name="工友编号"/>
    <x:tableColumn id="4" name="任务角色"/>
    <x:tableColumn id="5" name="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bfa29d9ca640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dbc7c82c8946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c6c77da58049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安龄工友｜闭环数据导入模板 V3</x:v>
      </x:c>
      <x:c r="B1" s="3"/>
      <x:c r="C1" s="3"/>
      <x:c r="D1" s="3"/>
      <x:c r="E1" s="3"/>
      <x:c r="F1" s="3"/>
      <x:c r="G1" s="3"/>
      <x:c r="H1" s="3"/>
    </x:row>
    <x:row r="2" ht="34" customHeight="1">
      <x:c r="A2" s="3"/>
      <x:c r="B2" s="3"/>
      <x:c r="C2" s="3"/>
      <x:c r="D2" s="3"/>
      <x:c r="E2" s="3"/>
      <x:c r="F2" s="3"/>
      <x:c r="G2" s="3"/>
      <x:c r="H2" s="3"/>
    </x:row>
    <x:row r="4">
      <x:c r="A4" s="5" t="str">
        <x:v>使用说明</x:v>
      </x:c>
      <x:c r="B4" s="5"/>
      <x:c r="C4" s="5"/>
      <x:c r="D4" s="5"/>
      <x:c r="E4" s="5"/>
      <x:c r="F4" s="5"/>
      <x:c r="G4" s="5"/>
      <x:c r="H4" s="5"/>
    </x:row>
    <x:row r="6">
      <x:c r="A6" s="8" t="str">
        <x:v>数据关系</x:v>
      </x:c>
      <x:c r="B6" s="13" t="str">
        <x:v>施工任务只描述作业需求；人员通过“人员分配”工作表关联，一个任务可以分配多人。</x:v>
      </x:c>
    </x:row>
    <x:row r="7">
      <x:c r="A7" s="8" t="str">
        <x:v>编号规则</x:v>
      </x:c>
      <x:c r="B7" s="13" t="str">
        <x:v>工友编号、任务编号、分配编号均不能重复；人员分配中的任务和工友必须存在。</x:v>
      </x:c>
    </x:row>
    <x:row r="8">
      <x:c r="A8" s="8" t="str">
        <x:v>资格编码</x:v>
      </x:c>
      <x:c r="B8" s="13" t="str">
        <x:v>资格校验使用标准编码，不使用证书名称模糊匹配。多个工友资格编码使用顿号分隔。</x:v>
      </x:c>
    </x:row>
    <x:row r="9">
      <x:c r="A9" s="8" t="str">
        <x:v>适岗信息</x:v>
      </x:c>
      <x:c r="B9" s="13" t="str">
        <x:v>只填写作业复核所需标签，并填写信息来源和有效期，不填写病历、诊断或用药。</x:v>
      </x:c>
    </x:row>
    <x:row r="10">
      <x:c r="A10" s="8" t="str">
        <x:v>业务闭环</x:v>
      </x:c>
      <x:c r="B10" s="14" t="str">
        <x:v>风险方案须经过安全员、班组长、工友确认和执行登记后，才进入最终计划。</x:v>
      </x:c>
    </x:row>
    <x:row r="12">
      <x:c r="A12" s="15" t="str">
        <x:v>工友数量</x:v>
      </x:c>
      <x:c r="B12" s="15" t="str"/>
      <x:c r="C12" s="15" t="str">
        <x:v>任务数量</x:v>
      </x:c>
      <x:c r="D12" s="15" t="str"/>
      <x:c r="E12" s="15" t="str">
        <x:v>人员分配</x:v>
      </x:c>
      <x:c r="F12" s="15" t="str"/>
      <x:c r="G12" s="15" t="str">
        <x:v>大龄工友（统计）</x:v>
      </x:c>
      <x:c r="H12" s="15" t="str"/>
    </x:row>
    <x:row r="13">
      <x:c r="A13" s="17" t="n">
        <x:f>COUNTA('工友档案'!A5:A204)</x:f>
        <x:v>8</x:v>
      </x:c>
      <x:c r="B13" s="17"/>
      <x:c r="C13" s="17" t="n">
        <x:f>COUNTA('施工计划'!A5:A204)</x:f>
        <x:v>6</x:v>
      </x:c>
      <x:c r="D13" s="17"/>
      <x:c r="E13" s="17" t="n">
        <x:f>COUNTA('人员分配'!A5:A404)</x:f>
        <x:v>7</x:v>
      </x:c>
      <x:c r="F13" s="17"/>
      <x:c r="G13" s="17" t="n">
        <x:f>COUNTIF('工友档案'!C5:C204,"&gt;=50")</x:f>
        <x:v>4</x:v>
      </x:c>
      <x:c r="H13" s="17"/>
    </x:row>
  </x:sheetData>
  <x:mergeCells>
    <x:mergeCell ref="A1:H2"/>
    <x:mergeCell ref="A4:H4"/>
    <x:mergeCell ref="A13:B13"/>
    <x:mergeCell ref="C13:D13"/>
    <x:mergeCell ref="E13:F13"/>
    <x:mergeCell ref="G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7" hidden="0" customWidth="1"/>
    <x:col min="7" max="7" width="17" hidden="0" customWidth="1"/>
    <x:col min="8" max="8" width="30" hidden="0" customWidth="1"/>
    <x:col min="9" max="9" width="18" hidden="0" customWidth="1"/>
    <x:col min="10" max="10" width="18" hidden="0" customWidth="1"/>
    <x:col min="11" max="11" width="30" hidden="0" customWidth="1"/>
    <x:col min="12" max="12" width="30" hidden="0" customWidth="1"/>
  </x:cols>
  <x:sheetData>
    <x:row r="1" ht="34" customHeight="1">
      <x:c r="A1" s="3" t="str">
        <x:v>工友档案｜资格、适岗来源与有效期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18" t="str">
        <x:v>50岁仅用于原型统计；年龄不单独触发禁岗。证书编码、适岗来源和有效期是风险判断的重要输入。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25" customHeight="1">
      <x:c r="A4" s="27" t="str">
        <x:v>工友编号</x:v>
      </x:c>
      <x:c r="B4" s="28" t="str">
        <x:v>姓名</x:v>
      </x:c>
      <x:c r="C4" s="28" t="str">
        <x:v>年龄</x:v>
      </x:c>
      <x:c r="D4" s="28" t="str">
        <x:v>工种</x:v>
      </x:c>
      <x:c r="E4" s="28" t="str">
        <x:v>工龄</x:v>
      </x:c>
      <x:c r="F4" s="28" t="str">
        <x:v>证书/资格</x:v>
      </x:c>
      <x:c r="G4" s="28" t="str">
        <x:v>证书编码</x:v>
      </x:c>
      <x:c r="H4" s="28" t="str">
        <x:v>适岗标签</x:v>
      </x:c>
      <x:c r="I4" s="28" t="str">
        <x:v>适岗信息来源</x:v>
      </x:c>
      <x:c r="J4" s="28" t="str">
        <x:v>适岗有效期</x:v>
      </x:c>
      <x:c r="K4" s="28" t="str">
        <x:v>技能经验</x:v>
      </x:c>
      <x:c r="L4" s="29" t="str">
        <x:v>工作意愿</x:v>
      </x:c>
    </x:row>
    <x:row r="5">
      <x:c r="A5" s="32" t="str">
        <x:v>W001</x:v>
      </x:c>
      <x:c r="B5" s="32" t="str">
        <x:v>张建华</x:v>
      </x:c>
      <x:c r="C5" s="32" t="n">
        <x:v>58</x:v>
      </x:c>
      <x:c r="D5" s="32" t="str">
        <x:v>砌筑工</x:v>
      </x:c>
      <x:c r="E5" s="32" t="n">
        <x:v>32</x:v>
      </x:c>
      <x:c r="F5" s="32" t="str">
        <x:v>砌筑工高级</x:v>
      </x:c>
      <x:c r="G5" s="32" t="str">
        <x:v>MASON-L3</x:v>
      </x:c>
      <x:c r="H5" s="34" t="str">
        <x:v>高处作业需复核、血压重点关注</x:v>
      </x:c>
      <x:c r="I5" s="34" t="str">
        <x:v>模拟适岗结论</x:v>
      </x:c>
      <x:c r="J5" s="34" t="str">
        <x:v>2026-12-31</x:v>
      </x:c>
      <x:c r="K5" s="34" t="str">
        <x:v>墙体质量、样板指导、新人带教</x:v>
      </x:c>
      <x:c r="L5" s="34" t="str">
        <x:v>愿意承担质量指导工作</x:v>
      </x:c>
    </x:row>
    <x:row r="6">
      <x:c r="A6" s="32" t="str">
        <x:v>W002</x:v>
      </x:c>
      <x:c r="B6" s="32" t="str">
        <x:v>王德胜</x:v>
      </x:c>
      <x:c r="C6" s="32" t="n">
        <x:v>60</x:v>
      </x:c>
      <x:c r="D6" s="32" t="str">
        <x:v>混凝土工</x:v>
      </x:c>
      <x:c r="E6" s="32" t="n">
        <x:v>35</x:v>
      </x:c>
      <x:c r="F6" s="32" t="str">
        <x:v>混凝土工高级</x:v>
      </x:c>
      <x:c r="G6" s="32" t="str">
        <x:v>CONCRETE-L3</x:v>
      </x:c>
      <x:c r="H6" s="34" t="str">
        <x:v>高温时段需调整、心血管重点关注</x:v>
      </x:c>
      <x:c r="I6" s="34" t="str">
        <x:v>模拟适岗结论</x:v>
      </x:c>
      <x:c r="J6" s="34" t="str">
        <x:v>2026-12-31</x:v>
      </x:c>
      <x:c r="K6" s="34" t="str">
        <x:v>浇筑组织、施工缝处理</x:v>
      </x:c>
      <x:c r="L6" s="34" t="str">
        <x:v>希望减少午间户外作业</x:v>
      </x:c>
    </x:row>
    <x:row r="7">
      <x:c r="A7" s="32" t="str">
        <x:v>W003</x:v>
      </x:c>
      <x:c r="B7" s="32" t="str">
        <x:v>刘国平</x:v>
      </x:c>
      <x:c r="C7" s="32" t="n">
        <x:v>55</x:v>
      </x:c>
      <x:c r="D7" s="32" t="str">
        <x:v>材料工</x:v>
      </x:c>
      <x:c r="E7" s="32" t="n">
        <x:v>24</x:v>
      </x:c>
      <x:c r="F7" s="32" t="str">
        <x:v>材料员辅助</x:v>
      </x:c>
      <x:c r="G7" s="32" t="str">
        <x:v>MATERIAL-AUX</x:v>
      </x:c>
      <x:c r="H7" s="34" t="str">
        <x:v>腰部负荷限制、避免连续重体力</x:v>
      </x:c>
      <x:c r="I7" s="34" t="str">
        <x:v>模拟适岗结论</x:v>
      </x:c>
      <x:c r="J7" s="34" t="str">
        <x:v>2026-12-31</x:v>
      </x:c>
      <x:c r="K7" s="34" t="str">
        <x:v>材料验收、仓储清点</x:v>
      </x:c>
      <x:c r="L7" s="34" t="str">
        <x:v>可承担材料台账工作</x:v>
      </x:c>
    </x:row>
    <x:row r="8">
      <x:c r="A8" s="32" t="str">
        <x:v>W004</x:v>
      </x:c>
      <x:c r="B8" s="32" t="str">
        <x:v>李长青</x:v>
      </x:c>
      <x:c r="C8" s="32" t="n">
        <x:v>52</x:v>
      </x:c>
      <x:c r="D8" s="32" t="str">
        <x:v>钢筋工</x:v>
      </x:c>
      <x:c r="E8" s="32" t="n">
        <x:v>28</x:v>
      </x:c>
      <x:c r="F8" s="32" t="str">
        <x:v>钢筋工高级</x:v>
      </x:c>
      <x:c r="G8" s="32" t="str">
        <x:v>REBAR-L3</x:v>
      </x:c>
      <x:c r="H8" s="34" t="str">
        <x:v>避免连续高强度</x:v>
      </x:c>
      <x:c r="I8" s="34" t="str">
        <x:v>模拟适岗结论</x:v>
      </x:c>
      <x:c r="J8" s="34" t="str">
        <x:v>2026-12-31</x:v>
      </x:c>
      <x:c r="K8" s="34" t="str">
        <x:v>钢筋下料、节点复核、新人带教</x:v>
      </x:c>
      <x:c r="L8" s="34" t="str">
        <x:v>愿意参与工艺带教</x:v>
      </x:c>
    </x:row>
    <x:row r="9">
      <x:c r="A9" s="32" t="str">
        <x:v>W009</x:v>
      </x:c>
      <x:c r="B9" s="32" t="str">
        <x:v>李志强</x:v>
      </x:c>
      <x:c r="C9" s="32" t="n">
        <x:v>43</x:v>
      </x:c>
      <x:c r="D9" s="32" t="str">
        <x:v>架子工</x:v>
      </x:c>
      <x:c r="E9" s="32" t="n">
        <x:v>17</x:v>
      </x:c>
      <x:c r="F9" s="32" t="str">
        <x:v>建筑架子工证</x:v>
      </x:c>
      <x:c r="G9" s="32" t="str">
        <x:v>SCAFFOLD</x:v>
      </x:c>
      <x:c r="H9" s="34" t="str">
        <x:v>正常适岗</x:v>
      </x:c>
      <x:c r="I9" s="34" t="str">
        <x:v>自主申报</x:v>
      </x:c>
      <x:c r="J9" s="34" t="str">
        <x:v>2026-12-31</x:v>
      </x:c>
      <x:c r="K9" s="34" t="str">
        <x:v>架体搭设、连墙件安装</x:v>
      </x:c>
      <x:c r="L9" s="34" t="str">
        <x:v>正常安排</x:v>
      </x:c>
    </x:row>
    <x:row r="10">
      <x:c r="A10" s="32" t="str">
        <x:v>W010</x:v>
      </x:c>
      <x:c r="B10" s="32" t="str">
        <x:v>高明</x:v>
      </x:c>
      <x:c r="C10" s="32" t="n">
        <x:v>39</x:v>
      </x:c>
      <x:c r="D10" s="32" t="str">
        <x:v>材料工</x:v>
      </x:c>
      <x:c r="E10" s="32" t="n">
        <x:v>12</x:v>
      </x:c>
      <x:c r="F10" s="32" t="str">
        <x:v>叉车证</x:v>
      </x:c>
      <x:c r="G10" s="32" t="str">
        <x:v>FORKLIFT</x:v>
      </x:c>
      <x:c r="H10" s="34" t="str">
        <x:v>正常适岗</x:v>
      </x:c>
      <x:c r="I10" s="34" t="str">
        <x:v>自主申报</x:v>
      </x:c>
      <x:c r="J10" s="34" t="str">
        <x:v>2026-12-31</x:v>
      </x:c>
      <x:c r="K10" s="34" t="str">
        <x:v>机械搬运、材料运输</x:v>
      </x:c>
      <x:c r="L10" s="34" t="str">
        <x:v>正常安排</x:v>
      </x:c>
    </x:row>
    <x:row r="11">
      <x:c r="A11" s="32" t="str">
        <x:v>W017</x:v>
      </x:c>
      <x:c r="B11" s="32" t="str">
        <x:v>何伟</x:v>
      </x:c>
      <x:c r="C11" s="32" t="n">
        <x:v>33</x:v>
      </x:c>
      <x:c r="D11" s="32" t="str">
        <x:v>砌筑工</x:v>
      </x:c>
      <x:c r="E11" s="32" t="n">
        <x:v>8</x:v>
      </x:c>
      <x:c r="F11" s="32" t="str">
        <x:v>砌筑工中级</x:v>
      </x:c>
      <x:c r="G11" s="32" t="str">
        <x:v>MASON-L2</x:v>
      </x:c>
      <x:c r="H11" s="34" t="str">
        <x:v>正常适岗</x:v>
      </x:c>
      <x:c r="I11" s="34" t="str">
        <x:v>自主申报</x:v>
      </x:c>
      <x:c r="J11" s="34" t="str">
        <x:v>2026-12-31</x:v>
      </x:c>
      <x:c r="K11" s="34" t="str">
        <x:v>砌体施工、材料准备</x:v>
      </x:c>
      <x:c r="L11" s="34" t="str">
        <x:v>正常安排</x:v>
      </x:c>
    </x:row>
    <x:row r="12">
      <x:c r="A12" s="33" t="str">
        <x:v>W018</x:v>
      </x:c>
      <x:c r="B12" s="33" t="str">
        <x:v>冯波</x:v>
      </x:c>
      <x:c r="C12" s="33" t="n">
        <x:v>36</x:v>
      </x:c>
      <x:c r="D12" s="33" t="str">
        <x:v>材料工</x:v>
      </x:c>
      <x:c r="E12" s="33" t="n">
        <x:v>11</x:v>
      </x:c>
      <x:c r="F12" s="33" t="str">
        <x:v>叉车证</x:v>
      </x:c>
      <x:c r="G12" s="33" t="str">
        <x:v>FORKLIFT</x:v>
      </x:c>
      <x:c r="H12" s="35" t="str">
        <x:v>正常适岗</x:v>
      </x:c>
      <x:c r="I12" s="35" t="str">
        <x:v>自主申报</x:v>
      </x:c>
      <x:c r="J12" s="35" t="str">
        <x:v>2026-12-31</x:v>
      </x:c>
      <x:c r="K12" s="35" t="str">
        <x:v>机械搬运</x:v>
      </x:c>
      <x:c r="L12" s="35" t="str">
        <x:v>正常安排</x:v>
      </x:c>
    </x:row>
    <x:row r="13">
      <x:c r="H13" s="11"/>
      <x:c r="I13" s="11"/>
      <x:c r="J13" s="11"/>
      <x:c r="K13" s="11"/>
      <x:c r="L13" s="11"/>
    </x:row>
    <x:row r="14">
      <x:c r="H14" s="11"/>
      <x:c r="I14" s="11"/>
      <x:c r="J14" s="11"/>
      <x:c r="K14" s="11"/>
      <x:c r="L14" s="11"/>
    </x:row>
    <x:row r="15">
      <x:c r="H15" s="11"/>
      <x:c r="I15" s="11"/>
      <x:c r="J15" s="11"/>
      <x:c r="K15" s="11"/>
      <x:c r="L15" s="11"/>
    </x:row>
    <x:row r="16">
      <x:c r="H16" s="11"/>
      <x:c r="I16" s="11"/>
      <x:c r="J16" s="11"/>
      <x:c r="K16" s="11"/>
      <x:c r="L16" s="11"/>
    </x:row>
    <x:row r="17">
      <x:c r="H17" s="11"/>
      <x:c r="I17" s="11"/>
      <x:c r="J17" s="11"/>
      <x:c r="K17" s="11"/>
      <x:c r="L17" s="11"/>
    </x:row>
    <x:row r="18">
      <x:c r="H18" s="11"/>
      <x:c r="I18" s="11"/>
      <x:c r="J18" s="11"/>
      <x:c r="K18" s="11"/>
      <x:c r="L18" s="11"/>
    </x:row>
    <x:row r="19">
      <x:c r="H19" s="11"/>
      <x:c r="I19" s="11"/>
      <x:c r="J19" s="11"/>
      <x:c r="K19" s="11"/>
      <x:c r="L19" s="11"/>
    </x:row>
    <x:row r="20">
      <x:c r="H20" s="11"/>
      <x:c r="I20" s="11"/>
      <x:c r="J20" s="11"/>
      <x:c r="K20" s="11"/>
      <x:c r="L20" s="11"/>
    </x:row>
    <x:row r="21">
      <x:c r="H21" s="11"/>
      <x:c r="I21" s="11"/>
      <x:c r="J21" s="11"/>
      <x:c r="K21" s="11"/>
      <x:c r="L21" s="11"/>
    </x:row>
    <x:row r="22">
      <x:c r="H22" s="11"/>
      <x:c r="I22" s="11"/>
      <x:c r="J22" s="11"/>
      <x:c r="K22" s="11"/>
      <x:c r="L22" s="11"/>
    </x:row>
    <x:row r="23">
      <x:c r="H23" s="11"/>
      <x:c r="I23" s="11"/>
      <x:c r="J23" s="11"/>
      <x:c r="K23" s="11"/>
      <x:c r="L23" s="11"/>
    </x:row>
    <x:row r="24">
      <x:c r="H24" s="11"/>
      <x:c r="I24" s="11"/>
      <x:c r="J24" s="11"/>
      <x:c r="K24" s="11"/>
      <x:c r="L24" s="11"/>
    </x:row>
    <x:row r="25">
      <x:c r="H25" s="11"/>
      <x:c r="I25" s="11"/>
      <x:c r="J25" s="11"/>
      <x:c r="K25" s="11"/>
      <x:c r="L25" s="11"/>
    </x:row>
    <x:row r="26">
      <x:c r="H26" s="11"/>
      <x:c r="I26" s="11"/>
      <x:c r="J26" s="11"/>
      <x:c r="K26" s="11"/>
      <x:c r="L26" s="11"/>
    </x:row>
    <x:row r="27">
      <x:c r="H27" s="11"/>
      <x:c r="I27" s="11"/>
      <x:c r="J27" s="11"/>
      <x:c r="K27" s="11"/>
      <x:c r="L27" s="11"/>
    </x:row>
    <x:row r="28">
      <x:c r="H28" s="11"/>
      <x:c r="I28" s="11"/>
      <x:c r="J28" s="11"/>
      <x:c r="K28" s="11"/>
      <x:c r="L28" s="11"/>
    </x:row>
    <x:row r="29">
      <x:c r="H29" s="11"/>
      <x:c r="I29" s="11"/>
      <x:c r="J29" s="11"/>
      <x:c r="K29" s="11"/>
      <x:c r="L29" s="11"/>
    </x:row>
    <x:row r="30">
      <x:c r="H30" s="11"/>
      <x:c r="I30" s="11"/>
      <x:c r="J30" s="11"/>
      <x:c r="K30" s="11"/>
      <x:c r="L30" s="11"/>
    </x:row>
    <x:row r="31">
      <x:c r="H31" s="11"/>
      <x:c r="I31" s="11"/>
      <x:c r="J31" s="11"/>
      <x:c r="K31" s="11"/>
      <x:c r="L31" s="11"/>
    </x:row>
    <x:row r="32">
      <x:c r="H32" s="11"/>
      <x:c r="I32" s="11"/>
      <x:c r="J32" s="11"/>
      <x:c r="K32" s="11"/>
      <x:c r="L32" s="11"/>
    </x:row>
    <x:row r="33">
      <x:c r="H33" s="11"/>
      <x:c r="I33" s="11"/>
      <x:c r="J33" s="11"/>
      <x:c r="K33" s="11"/>
      <x:c r="L33" s="11"/>
    </x:row>
    <x:row r="34">
      <x:c r="H34" s="11"/>
      <x:c r="I34" s="11"/>
      <x:c r="J34" s="11"/>
      <x:c r="K34" s="11"/>
      <x:c r="L34" s="11"/>
    </x:row>
    <x:row r="35">
      <x:c r="H35" s="11"/>
      <x:c r="I35" s="11"/>
      <x:c r="J35" s="11"/>
      <x:c r="K35" s="11"/>
      <x:c r="L35" s="11"/>
    </x:row>
    <x:row r="36">
      <x:c r="H36" s="11"/>
      <x:c r="I36" s="11"/>
      <x:c r="J36" s="11"/>
      <x:c r="K36" s="11"/>
      <x:c r="L36" s="11"/>
    </x:row>
    <x:row r="37">
      <x:c r="H37" s="11"/>
      <x:c r="I37" s="11"/>
      <x:c r="J37" s="11"/>
      <x:c r="K37" s="11"/>
      <x:c r="L37" s="11"/>
    </x:row>
    <x:row r="38">
      <x:c r="H38" s="11"/>
      <x:c r="I38" s="11"/>
      <x:c r="J38" s="11"/>
      <x:c r="K38" s="11"/>
      <x:c r="L38" s="11"/>
    </x:row>
    <x:row r="39">
      <x:c r="H39" s="11"/>
      <x:c r="I39" s="11"/>
      <x:c r="J39" s="11"/>
      <x:c r="K39" s="11"/>
      <x:c r="L39" s="11"/>
    </x:row>
    <x:row r="40">
      <x:c r="H40" s="11"/>
      <x:c r="I40" s="11"/>
      <x:c r="J40" s="11"/>
      <x:c r="K40" s="11"/>
      <x:c r="L40" s="11"/>
    </x:row>
    <x:row r="41">
      <x:c r="H41" s="11"/>
      <x:c r="I41" s="11"/>
      <x:c r="J41" s="11"/>
      <x:c r="K41" s="11"/>
      <x:c r="L41" s="11"/>
    </x:row>
    <x:row r="42">
      <x:c r="H42" s="11"/>
      <x:c r="I42" s="11"/>
      <x:c r="J42" s="11"/>
      <x:c r="K42" s="11"/>
      <x:c r="L42" s="11"/>
    </x:row>
    <x:row r="43">
      <x:c r="H43" s="11"/>
      <x:c r="I43" s="11"/>
      <x:c r="J43" s="11"/>
      <x:c r="K43" s="11"/>
      <x:c r="L43" s="11"/>
    </x:row>
    <x:row r="44">
      <x:c r="H44" s="11"/>
      <x:c r="I44" s="11"/>
      <x:c r="J44" s="11"/>
      <x:c r="K44" s="11"/>
      <x:c r="L44" s="11"/>
    </x:row>
    <x:row r="45">
      <x:c r="H45" s="11"/>
      <x:c r="I45" s="11"/>
      <x:c r="J45" s="11"/>
      <x:c r="K45" s="11"/>
      <x:c r="L45" s="11"/>
    </x:row>
    <x:row r="46">
      <x:c r="H46" s="11"/>
      <x:c r="I46" s="11"/>
      <x:c r="J46" s="11"/>
      <x:c r="K46" s="11"/>
      <x:c r="L46" s="11"/>
    </x:row>
    <x:row r="47">
      <x:c r="H47" s="11"/>
      <x:c r="I47" s="11"/>
      <x:c r="J47" s="11"/>
      <x:c r="K47" s="11"/>
      <x:c r="L47" s="11"/>
    </x:row>
    <x:row r="48">
      <x:c r="H48" s="11"/>
      <x:c r="I48" s="11"/>
      <x:c r="J48" s="11"/>
      <x:c r="K48" s="11"/>
      <x:c r="L48" s="11"/>
    </x:row>
    <x:row r="49">
      <x:c r="H49" s="11"/>
      <x:c r="I49" s="11"/>
      <x:c r="J49" s="11"/>
      <x:c r="K49" s="11"/>
      <x:c r="L49" s="11"/>
    </x:row>
    <x:row r="50">
      <x:c r="H50" s="11"/>
      <x:c r="I50" s="11"/>
      <x:c r="J50" s="11"/>
      <x:c r="K50" s="11"/>
      <x:c r="L50" s="11"/>
    </x:row>
    <x:row r="51">
      <x:c r="H51" s="11"/>
      <x:c r="I51" s="11"/>
      <x:c r="J51" s="11"/>
      <x:c r="K51" s="11"/>
      <x:c r="L51" s="11"/>
    </x:row>
    <x:row r="52">
      <x:c r="H52" s="11"/>
      <x:c r="I52" s="11"/>
      <x:c r="J52" s="11"/>
      <x:c r="K52" s="11"/>
      <x:c r="L52" s="11"/>
    </x:row>
    <x:row r="53">
      <x:c r="H53" s="11"/>
      <x:c r="I53" s="11"/>
      <x:c r="J53" s="11"/>
      <x:c r="K53" s="11"/>
      <x:c r="L53" s="11"/>
    </x:row>
    <x:row r="54">
      <x:c r="H54" s="11"/>
      <x:c r="I54" s="11"/>
      <x:c r="J54" s="11"/>
      <x:c r="K54" s="11"/>
      <x:c r="L54" s="11"/>
    </x:row>
    <x:row r="55">
      <x:c r="H55" s="11"/>
      <x:c r="I55" s="11"/>
      <x:c r="J55" s="11"/>
      <x:c r="K55" s="11"/>
      <x:c r="L55" s="11"/>
    </x:row>
    <x:row r="56">
      <x:c r="H56" s="11"/>
      <x:c r="I56" s="11"/>
      <x:c r="J56" s="11"/>
      <x:c r="K56" s="11"/>
      <x:c r="L56" s="11"/>
    </x:row>
    <x:row r="57">
      <x:c r="H57" s="11"/>
      <x:c r="I57" s="11"/>
      <x:c r="J57" s="11"/>
      <x:c r="K57" s="11"/>
      <x:c r="L57" s="11"/>
    </x:row>
    <x:row r="58">
      <x:c r="H58" s="11"/>
      <x:c r="I58" s="11"/>
      <x:c r="J58" s="11"/>
      <x:c r="K58" s="11"/>
      <x:c r="L58" s="11"/>
    </x:row>
    <x:row r="59">
      <x:c r="H59" s="11"/>
      <x:c r="I59" s="11"/>
      <x:c r="J59" s="11"/>
      <x:c r="K59" s="11"/>
      <x:c r="L59" s="11"/>
    </x:row>
    <x:row r="60">
      <x:c r="H60" s="11"/>
      <x:c r="I60" s="11"/>
      <x:c r="J60" s="11"/>
      <x:c r="K60" s="11"/>
      <x:c r="L60" s="11"/>
    </x:row>
    <x:row r="61">
      <x:c r="H61" s="11"/>
      <x:c r="I61" s="11"/>
      <x:c r="J61" s="11"/>
      <x:c r="K61" s="11"/>
      <x:c r="L61" s="11"/>
    </x:row>
    <x:row r="62">
      <x:c r="H62" s="11"/>
      <x:c r="I62" s="11"/>
      <x:c r="J62" s="11"/>
      <x:c r="K62" s="11"/>
      <x:c r="L62" s="11"/>
    </x:row>
    <x:row r="63">
      <x:c r="H63" s="11"/>
      <x:c r="I63" s="11"/>
      <x:c r="J63" s="11"/>
      <x:c r="K63" s="11"/>
      <x:c r="L63" s="11"/>
    </x:row>
    <x:row r="64">
      <x:c r="H64" s="11"/>
      <x:c r="I64" s="11"/>
      <x:c r="J64" s="11"/>
      <x:c r="K64" s="11"/>
      <x:c r="L64" s="11"/>
    </x:row>
    <x:row r="65">
      <x:c r="H65" s="11"/>
      <x:c r="I65" s="11"/>
      <x:c r="J65" s="11"/>
      <x:c r="K65" s="11"/>
      <x:c r="L65" s="11"/>
    </x:row>
    <x:row r="66">
      <x:c r="H66" s="11"/>
      <x:c r="I66" s="11"/>
      <x:c r="J66" s="11"/>
      <x:c r="K66" s="11"/>
      <x:c r="L66" s="11"/>
    </x:row>
    <x:row r="67">
      <x:c r="H67" s="11"/>
      <x:c r="I67" s="11"/>
      <x:c r="J67" s="11"/>
      <x:c r="K67" s="11"/>
      <x:c r="L67" s="11"/>
    </x:row>
    <x:row r="68">
      <x:c r="H68" s="11"/>
      <x:c r="I68" s="11"/>
      <x:c r="J68" s="11"/>
      <x:c r="K68" s="11"/>
      <x:c r="L68" s="11"/>
    </x:row>
    <x:row r="69">
      <x:c r="H69" s="11"/>
      <x:c r="I69" s="11"/>
      <x:c r="J69" s="11"/>
      <x:c r="K69" s="11"/>
      <x:c r="L69" s="11"/>
    </x:row>
    <x:row r="70">
      <x:c r="H70" s="11"/>
      <x:c r="I70" s="11"/>
      <x:c r="J70" s="11"/>
      <x:c r="K70" s="11"/>
      <x:c r="L70" s="11"/>
    </x:row>
    <x:row r="71">
      <x:c r="H71" s="11"/>
      <x:c r="I71" s="11"/>
      <x:c r="J71" s="11"/>
      <x:c r="K71" s="11"/>
      <x:c r="L71" s="11"/>
    </x:row>
    <x:row r="72">
      <x:c r="H72" s="11"/>
      <x:c r="I72" s="11"/>
      <x:c r="J72" s="11"/>
      <x:c r="K72" s="11"/>
      <x:c r="L72" s="11"/>
    </x:row>
    <x:row r="73">
      <x:c r="H73" s="11"/>
      <x:c r="I73" s="11"/>
      <x:c r="J73" s="11"/>
      <x:c r="K73" s="11"/>
      <x:c r="L73" s="11"/>
    </x:row>
    <x:row r="74">
      <x:c r="H74" s="11"/>
      <x:c r="I74" s="11"/>
      <x:c r="J74" s="11"/>
      <x:c r="K74" s="11"/>
      <x:c r="L74" s="11"/>
    </x:row>
    <x:row r="75">
      <x:c r="H75" s="11"/>
      <x:c r="I75" s="11"/>
      <x:c r="J75" s="11"/>
      <x:c r="K75" s="11"/>
      <x:c r="L75" s="11"/>
    </x:row>
    <x:row r="76">
      <x:c r="H76" s="11"/>
      <x:c r="I76" s="11"/>
      <x:c r="J76" s="11"/>
      <x:c r="K76" s="11"/>
      <x:c r="L76" s="11"/>
    </x:row>
    <x:row r="77">
      <x:c r="H77" s="11"/>
      <x:c r="I77" s="11"/>
      <x:c r="J77" s="11"/>
      <x:c r="K77" s="11"/>
      <x:c r="L77" s="11"/>
    </x:row>
    <x:row r="78">
      <x:c r="H78" s="11"/>
      <x:c r="I78" s="11"/>
      <x:c r="J78" s="11"/>
      <x:c r="K78" s="11"/>
      <x:c r="L78" s="11"/>
    </x:row>
    <x:row r="79">
      <x:c r="H79" s="11"/>
      <x:c r="I79" s="11"/>
      <x:c r="J79" s="11"/>
      <x:c r="K79" s="11"/>
      <x:c r="L79" s="11"/>
    </x:row>
    <x:row r="80">
      <x:c r="H80" s="11"/>
      <x:c r="I80" s="11"/>
      <x:c r="J80" s="11"/>
      <x:c r="K80" s="11"/>
      <x:c r="L80" s="11"/>
    </x:row>
    <x:row r="81">
      <x:c r="H81" s="11"/>
      <x:c r="I81" s="11"/>
      <x:c r="J81" s="11"/>
      <x:c r="K81" s="11"/>
      <x:c r="L81" s="11"/>
    </x:row>
    <x:row r="82">
      <x:c r="H82" s="11"/>
      <x:c r="I82" s="11"/>
      <x:c r="J82" s="11"/>
      <x:c r="K82" s="11"/>
      <x:c r="L82" s="11"/>
    </x:row>
    <x:row r="83">
      <x:c r="H83" s="11"/>
      <x:c r="I83" s="11"/>
      <x:c r="J83" s="11"/>
      <x:c r="K83" s="11"/>
      <x:c r="L83" s="11"/>
    </x:row>
    <x:row r="84">
      <x:c r="H84" s="11"/>
      <x:c r="I84" s="11"/>
      <x:c r="J84" s="11"/>
      <x:c r="K84" s="11"/>
      <x:c r="L84" s="11"/>
    </x:row>
    <x:row r="85">
      <x:c r="H85" s="11"/>
      <x:c r="I85" s="11"/>
      <x:c r="J85" s="11"/>
      <x:c r="K85" s="11"/>
      <x:c r="L85" s="11"/>
    </x:row>
    <x:row r="86">
      <x:c r="H86" s="11"/>
      <x:c r="I86" s="11"/>
      <x:c r="J86" s="11"/>
      <x:c r="K86" s="11"/>
      <x:c r="L86" s="11"/>
    </x:row>
    <x:row r="87">
      <x:c r="H87" s="11"/>
      <x:c r="I87" s="11"/>
      <x:c r="J87" s="11"/>
      <x:c r="K87" s="11"/>
      <x:c r="L87" s="11"/>
    </x:row>
    <x:row r="88">
      <x:c r="H88" s="11"/>
      <x:c r="I88" s="11"/>
      <x:c r="J88" s="11"/>
      <x:c r="K88" s="11"/>
      <x:c r="L88" s="11"/>
    </x:row>
    <x:row r="89">
      <x:c r="H89" s="11"/>
      <x:c r="I89" s="11"/>
      <x:c r="J89" s="11"/>
      <x:c r="K89" s="11"/>
      <x:c r="L89" s="11"/>
    </x:row>
    <x:row r="90">
      <x:c r="H90" s="11"/>
      <x:c r="I90" s="11"/>
      <x:c r="J90" s="11"/>
      <x:c r="K90" s="11"/>
      <x:c r="L90" s="11"/>
    </x:row>
    <x:row r="91">
      <x:c r="H91" s="11"/>
      <x:c r="I91" s="11"/>
      <x:c r="J91" s="11"/>
      <x:c r="K91" s="11"/>
      <x:c r="L91" s="11"/>
    </x:row>
    <x:row r="92">
      <x:c r="H92" s="11"/>
      <x:c r="I92" s="11"/>
      <x:c r="J92" s="11"/>
      <x:c r="K92" s="11"/>
      <x:c r="L92" s="11"/>
    </x:row>
    <x:row r="93">
      <x:c r="H93" s="11"/>
      <x:c r="I93" s="11"/>
      <x:c r="J93" s="11"/>
      <x:c r="K93" s="11"/>
      <x:c r="L93" s="11"/>
    </x:row>
    <x:row r="94">
      <x:c r="H94" s="11"/>
      <x:c r="I94" s="11"/>
      <x:c r="J94" s="11"/>
      <x:c r="K94" s="11"/>
      <x:c r="L94" s="11"/>
    </x:row>
    <x:row r="95">
      <x:c r="H95" s="11"/>
      <x:c r="I95" s="11"/>
      <x:c r="J95" s="11"/>
      <x:c r="K95" s="11"/>
      <x:c r="L95" s="11"/>
    </x:row>
    <x:row r="96">
      <x:c r="H96" s="11"/>
      <x:c r="I96" s="11"/>
      <x:c r="J96" s="11"/>
      <x:c r="K96" s="11"/>
      <x:c r="L96" s="11"/>
    </x:row>
    <x:row r="97">
      <x:c r="H97" s="11"/>
      <x:c r="I97" s="11"/>
      <x:c r="J97" s="11"/>
      <x:c r="K97" s="11"/>
      <x:c r="L97" s="11"/>
    </x:row>
    <x:row r="98">
      <x:c r="H98" s="11"/>
      <x:c r="I98" s="11"/>
      <x:c r="J98" s="11"/>
      <x:c r="K98" s="11"/>
      <x:c r="L98" s="11"/>
    </x:row>
    <x:row r="99">
      <x:c r="H99" s="11"/>
      <x:c r="I99" s="11"/>
      <x:c r="J99" s="11"/>
      <x:c r="K99" s="11"/>
      <x:c r="L99" s="11"/>
    </x:row>
    <x:row r="100">
      <x:c r="H100" s="11"/>
      <x:c r="I100" s="11"/>
      <x:c r="J100" s="11"/>
      <x:c r="K100" s="11"/>
      <x:c r="L100" s="11"/>
    </x:row>
    <x:row r="101">
      <x:c r="H101" s="11"/>
      <x:c r="I101" s="11"/>
      <x:c r="J101" s="11"/>
      <x:c r="K101" s="11"/>
      <x:c r="L101" s="11"/>
    </x:row>
    <x:row r="102">
      <x:c r="H102" s="11"/>
      <x:c r="I102" s="11"/>
      <x:c r="J102" s="11"/>
      <x:c r="K102" s="11"/>
      <x:c r="L102" s="11"/>
    </x:row>
    <x:row r="103">
      <x:c r="H103" s="11"/>
      <x:c r="I103" s="11"/>
      <x:c r="J103" s="11"/>
      <x:c r="K103" s="11"/>
      <x:c r="L103" s="11"/>
    </x:row>
    <x:row r="104">
      <x:c r="H104" s="11"/>
      <x:c r="I104" s="11"/>
      <x:c r="J104" s="11"/>
      <x:c r="K104" s="11"/>
      <x:c r="L104" s="11"/>
    </x:row>
    <x:row r="105">
      <x:c r="H105" s="11"/>
      <x:c r="I105" s="11"/>
      <x:c r="J105" s="11"/>
      <x:c r="K105" s="11"/>
      <x:c r="L105" s="11"/>
    </x:row>
    <x:row r="106">
      <x:c r="H106" s="11"/>
      <x:c r="I106" s="11"/>
      <x:c r="J106" s="11"/>
      <x:c r="K106" s="11"/>
      <x:c r="L106" s="11"/>
    </x:row>
    <x:row r="107">
      <x:c r="H107" s="11"/>
      <x:c r="I107" s="11"/>
      <x:c r="J107" s="11"/>
      <x:c r="K107" s="11"/>
      <x:c r="L107" s="11"/>
    </x:row>
    <x:row r="108">
      <x:c r="H108" s="11"/>
      <x:c r="I108" s="11"/>
      <x:c r="J108" s="11"/>
      <x:c r="K108" s="11"/>
      <x:c r="L108" s="11"/>
    </x:row>
    <x:row r="109">
      <x:c r="H109" s="11"/>
      <x:c r="I109" s="11"/>
      <x:c r="J109" s="11"/>
      <x:c r="K109" s="11"/>
      <x:c r="L109" s="11"/>
    </x:row>
    <x:row r="110">
      <x:c r="H110" s="11"/>
      <x:c r="I110" s="11"/>
      <x:c r="J110" s="11"/>
      <x:c r="K110" s="11"/>
      <x:c r="L110" s="11"/>
    </x:row>
    <x:row r="111">
      <x:c r="H111" s="11"/>
      <x:c r="I111" s="11"/>
      <x:c r="J111" s="11"/>
      <x:c r="K111" s="11"/>
      <x:c r="L111" s="11"/>
    </x:row>
    <x:row r="112">
      <x:c r="H112" s="11"/>
      <x:c r="I112" s="11"/>
      <x:c r="J112" s="11"/>
      <x:c r="K112" s="11"/>
      <x:c r="L112" s="11"/>
    </x:row>
    <x:row r="113">
      <x:c r="H113" s="11"/>
      <x:c r="I113" s="11"/>
      <x:c r="J113" s="11"/>
      <x:c r="K113" s="11"/>
      <x:c r="L113" s="11"/>
    </x:row>
    <x:row r="114">
      <x:c r="H114" s="11"/>
      <x:c r="I114" s="11"/>
      <x:c r="J114" s="11"/>
      <x:c r="K114" s="11"/>
      <x:c r="L114" s="11"/>
    </x:row>
    <x:row r="115">
      <x:c r="H115" s="11"/>
      <x:c r="I115" s="11"/>
      <x:c r="J115" s="11"/>
      <x:c r="K115" s="11"/>
      <x:c r="L115" s="11"/>
    </x:row>
    <x:row r="116">
      <x:c r="H116" s="11"/>
      <x:c r="I116" s="11"/>
      <x:c r="J116" s="11"/>
      <x:c r="K116" s="11"/>
      <x:c r="L116" s="11"/>
    </x:row>
    <x:row r="117">
      <x:c r="H117" s="11"/>
      <x:c r="I117" s="11"/>
      <x:c r="J117" s="11"/>
      <x:c r="K117" s="11"/>
      <x:c r="L117" s="11"/>
    </x:row>
    <x:row r="118">
      <x:c r="H118" s="11"/>
      <x:c r="I118" s="11"/>
      <x:c r="J118" s="11"/>
      <x:c r="K118" s="11"/>
      <x:c r="L118" s="11"/>
    </x:row>
    <x:row r="119">
      <x:c r="H119" s="11"/>
      <x:c r="I119" s="11"/>
      <x:c r="J119" s="11"/>
      <x:c r="K119" s="11"/>
      <x:c r="L119" s="11"/>
    </x:row>
    <x:row r="120">
      <x:c r="H120" s="11"/>
      <x:c r="I120" s="11"/>
      <x:c r="J120" s="11"/>
      <x:c r="K120" s="11"/>
      <x:c r="L120" s="11"/>
    </x:row>
    <x:row r="121">
      <x:c r="H121" s="11"/>
      <x:c r="I121" s="11"/>
      <x:c r="J121" s="11"/>
      <x:c r="K121" s="11"/>
      <x:c r="L121" s="11"/>
    </x:row>
    <x:row r="122">
      <x:c r="H122" s="11"/>
      <x:c r="I122" s="11"/>
      <x:c r="J122" s="11"/>
      <x:c r="K122" s="11"/>
      <x:c r="L122" s="11"/>
    </x:row>
    <x:row r="123">
      <x:c r="H123" s="11"/>
      <x:c r="I123" s="11"/>
      <x:c r="J123" s="11"/>
      <x:c r="K123" s="11"/>
      <x:c r="L123" s="11"/>
    </x:row>
    <x:row r="124">
      <x:c r="H124" s="11"/>
      <x:c r="I124" s="11"/>
      <x:c r="J124" s="11"/>
      <x:c r="K124" s="11"/>
      <x:c r="L124" s="11"/>
    </x:row>
    <x:row r="125">
      <x:c r="H125" s="11"/>
      <x:c r="I125" s="11"/>
      <x:c r="J125" s="11"/>
      <x:c r="K125" s="11"/>
      <x:c r="L125" s="11"/>
    </x:row>
    <x:row r="126">
      <x:c r="H126" s="11"/>
      <x:c r="I126" s="11"/>
      <x:c r="J126" s="11"/>
      <x:c r="K126" s="11"/>
      <x:c r="L126" s="11"/>
    </x:row>
    <x:row r="127">
      <x:c r="H127" s="11"/>
      <x:c r="I127" s="11"/>
      <x:c r="J127" s="11"/>
      <x:c r="K127" s="11"/>
      <x:c r="L127" s="11"/>
    </x:row>
    <x:row r="128">
      <x:c r="H128" s="11"/>
      <x:c r="I128" s="11"/>
      <x:c r="J128" s="11"/>
      <x:c r="K128" s="11"/>
      <x:c r="L128" s="11"/>
    </x:row>
    <x:row r="129">
      <x:c r="H129" s="11"/>
      <x:c r="I129" s="11"/>
      <x:c r="J129" s="11"/>
      <x:c r="K129" s="11"/>
      <x:c r="L129" s="11"/>
    </x:row>
    <x:row r="130">
      <x:c r="H130" s="11"/>
      <x:c r="I130" s="11"/>
      <x:c r="J130" s="11"/>
      <x:c r="K130" s="11"/>
      <x:c r="L130" s="11"/>
    </x:row>
    <x:row r="131">
      <x:c r="H131" s="11"/>
      <x:c r="I131" s="11"/>
      <x:c r="J131" s="11"/>
      <x:c r="K131" s="11"/>
      <x:c r="L131" s="11"/>
    </x:row>
    <x:row r="132">
      <x:c r="H132" s="11"/>
      <x:c r="I132" s="11"/>
      <x:c r="J132" s="11"/>
      <x:c r="K132" s="11"/>
      <x:c r="L132" s="11"/>
    </x:row>
    <x:row r="133">
      <x:c r="H133" s="11"/>
      <x:c r="I133" s="11"/>
      <x:c r="J133" s="11"/>
      <x:c r="K133" s="11"/>
      <x:c r="L133" s="11"/>
    </x:row>
    <x:row r="134">
      <x:c r="H134" s="11"/>
      <x:c r="I134" s="11"/>
      <x:c r="J134" s="11"/>
      <x:c r="K134" s="11"/>
      <x:c r="L134" s="11"/>
    </x:row>
    <x:row r="135">
      <x:c r="H135" s="11"/>
      <x:c r="I135" s="11"/>
      <x:c r="J135" s="11"/>
      <x:c r="K135" s="11"/>
      <x:c r="L135" s="11"/>
    </x:row>
    <x:row r="136">
      <x:c r="H136" s="11"/>
      <x:c r="I136" s="11"/>
      <x:c r="J136" s="11"/>
      <x:c r="K136" s="11"/>
      <x:c r="L136" s="11"/>
    </x:row>
    <x:row r="137">
      <x:c r="H137" s="11"/>
      <x:c r="I137" s="11"/>
      <x:c r="J137" s="11"/>
      <x:c r="K137" s="11"/>
      <x:c r="L137" s="11"/>
    </x:row>
    <x:row r="138">
      <x:c r="H138" s="11"/>
      <x:c r="I138" s="11"/>
      <x:c r="J138" s="11"/>
      <x:c r="K138" s="11"/>
      <x:c r="L138" s="11"/>
    </x:row>
    <x:row r="139">
      <x:c r="H139" s="11"/>
      <x:c r="I139" s="11"/>
      <x:c r="J139" s="11"/>
      <x:c r="K139" s="11"/>
      <x:c r="L139" s="11"/>
    </x:row>
    <x:row r="140">
      <x:c r="H140" s="11"/>
      <x:c r="I140" s="11"/>
      <x:c r="J140" s="11"/>
      <x:c r="K140" s="11"/>
      <x:c r="L140" s="11"/>
    </x:row>
    <x:row r="141">
      <x:c r="H141" s="11"/>
      <x:c r="I141" s="11"/>
      <x:c r="J141" s="11"/>
      <x:c r="K141" s="11"/>
      <x:c r="L141" s="11"/>
    </x:row>
    <x:row r="142">
      <x:c r="H142" s="11"/>
      <x:c r="I142" s="11"/>
      <x:c r="J142" s="11"/>
      <x:c r="K142" s="11"/>
      <x:c r="L142" s="11"/>
    </x:row>
    <x:row r="143">
      <x:c r="H143" s="11"/>
      <x:c r="I143" s="11"/>
      <x:c r="J143" s="11"/>
      <x:c r="K143" s="11"/>
      <x:c r="L143" s="11"/>
    </x:row>
    <x:row r="144">
      <x:c r="H144" s="11"/>
      <x:c r="I144" s="11"/>
      <x:c r="J144" s="11"/>
      <x:c r="K144" s="11"/>
      <x:c r="L144" s="11"/>
    </x:row>
    <x:row r="145">
      <x:c r="H145" s="11"/>
      <x:c r="I145" s="11"/>
      <x:c r="J145" s="11"/>
      <x:c r="K145" s="11"/>
      <x:c r="L145" s="11"/>
    </x:row>
    <x:row r="146">
      <x:c r="H146" s="11"/>
      <x:c r="I146" s="11"/>
      <x:c r="J146" s="11"/>
      <x:c r="K146" s="11"/>
      <x:c r="L146" s="11"/>
    </x:row>
    <x:row r="147">
      <x:c r="H147" s="11"/>
      <x:c r="I147" s="11"/>
      <x:c r="J147" s="11"/>
      <x:c r="K147" s="11"/>
      <x:c r="L147" s="11"/>
    </x:row>
    <x:row r="148">
      <x:c r="H148" s="11"/>
      <x:c r="I148" s="11"/>
      <x:c r="J148" s="11"/>
      <x:c r="K148" s="11"/>
      <x:c r="L148" s="11"/>
    </x:row>
    <x:row r="149">
      <x:c r="H149" s="11"/>
      <x:c r="I149" s="11"/>
      <x:c r="J149" s="11"/>
      <x:c r="K149" s="11"/>
      <x:c r="L149" s="11"/>
    </x:row>
    <x:row r="150">
      <x:c r="H150" s="11"/>
      <x:c r="I150" s="11"/>
      <x:c r="J150" s="11"/>
      <x:c r="K150" s="11"/>
      <x:c r="L150" s="11"/>
    </x:row>
    <x:row r="151">
      <x:c r="H151" s="11"/>
      <x:c r="I151" s="11"/>
      <x:c r="J151" s="11"/>
      <x:c r="K151" s="11"/>
      <x:c r="L151" s="11"/>
    </x:row>
    <x:row r="152">
      <x:c r="H152" s="11"/>
      <x:c r="I152" s="11"/>
      <x:c r="J152" s="11"/>
      <x:c r="K152" s="11"/>
      <x:c r="L152" s="11"/>
    </x:row>
    <x:row r="153">
      <x:c r="H153" s="11"/>
      <x:c r="I153" s="11"/>
      <x:c r="J153" s="11"/>
      <x:c r="K153" s="11"/>
      <x:c r="L153" s="11"/>
    </x:row>
    <x:row r="154">
      <x:c r="H154" s="11"/>
      <x:c r="I154" s="11"/>
      <x:c r="J154" s="11"/>
      <x:c r="K154" s="11"/>
      <x:c r="L154" s="11"/>
    </x:row>
    <x:row r="155">
      <x:c r="H155" s="11"/>
      <x:c r="I155" s="11"/>
      <x:c r="J155" s="11"/>
      <x:c r="K155" s="11"/>
      <x:c r="L155" s="11"/>
    </x:row>
    <x:row r="156">
      <x:c r="H156" s="11"/>
      <x:c r="I156" s="11"/>
      <x:c r="J156" s="11"/>
      <x:c r="K156" s="11"/>
      <x:c r="L156" s="11"/>
    </x:row>
    <x:row r="157">
      <x:c r="H157" s="11"/>
      <x:c r="I157" s="11"/>
      <x:c r="J157" s="11"/>
      <x:c r="K157" s="11"/>
      <x:c r="L157" s="11"/>
    </x:row>
    <x:row r="158">
      <x:c r="H158" s="11"/>
      <x:c r="I158" s="11"/>
      <x:c r="J158" s="11"/>
      <x:c r="K158" s="11"/>
      <x:c r="L158" s="11"/>
    </x:row>
    <x:row r="159">
      <x:c r="H159" s="11"/>
      <x:c r="I159" s="11"/>
      <x:c r="J159" s="11"/>
      <x:c r="K159" s="11"/>
      <x:c r="L159" s="11"/>
    </x:row>
    <x:row r="160">
      <x:c r="H160" s="11"/>
      <x:c r="I160" s="11"/>
      <x:c r="J160" s="11"/>
      <x:c r="K160" s="11"/>
      <x:c r="L160" s="11"/>
    </x:row>
    <x:row r="161">
      <x:c r="H161" s="11"/>
      <x:c r="I161" s="11"/>
      <x:c r="J161" s="11"/>
      <x:c r="K161" s="11"/>
      <x:c r="L161" s="11"/>
    </x:row>
    <x:row r="162">
      <x:c r="H162" s="11"/>
      <x:c r="I162" s="11"/>
      <x:c r="J162" s="11"/>
      <x:c r="K162" s="11"/>
      <x:c r="L162" s="11"/>
    </x:row>
    <x:row r="163">
      <x:c r="H163" s="11"/>
      <x:c r="I163" s="11"/>
      <x:c r="J163" s="11"/>
      <x:c r="K163" s="11"/>
      <x:c r="L163" s="11"/>
    </x:row>
    <x:row r="164">
      <x:c r="H164" s="11"/>
      <x:c r="I164" s="11"/>
      <x:c r="J164" s="11"/>
      <x:c r="K164" s="11"/>
      <x:c r="L164" s="11"/>
    </x:row>
    <x:row r="165">
      <x:c r="H165" s="11"/>
      <x:c r="I165" s="11"/>
      <x:c r="J165" s="11"/>
      <x:c r="K165" s="11"/>
      <x:c r="L165" s="11"/>
    </x:row>
    <x:row r="166">
      <x:c r="H166" s="11"/>
      <x:c r="I166" s="11"/>
      <x:c r="J166" s="11"/>
      <x:c r="K166" s="11"/>
      <x:c r="L166" s="11"/>
    </x:row>
    <x:row r="167">
      <x:c r="H167" s="11"/>
      <x:c r="I167" s="11"/>
      <x:c r="J167" s="11"/>
      <x:c r="K167" s="11"/>
      <x:c r="L167" s="11"/>
    </x:row>
    <x:row r="168">
      <x:c r="H168" s="11"/>
      <x:c r="I168" s="11"/>
      <x:c r="J168" s="11"/>
      <x:c r="K168" s="11"/>
      <x:c r="L168" s="11"/>
    </x:row>
    <x:row r="169">
      <x:c r="H169" s="11"/>
      <x:c r="I169" s="11"/>
      <x:c r="J169" s="11"/>
      <x:c r="K169" s="11"/>
      <x:c r="L169" s="11"/>
    </x:row>
    <x:row r="170">
      <x:c r="H170" s="11"/>
      <x:c r="I170" s="11"/>
      <x:c r="J170" s="11"/>
      <x:c r="K170" s="11"/>
      <x:c r="L170" s="11"/>
    </x:row>
    <x:row r="171">
      <x:c r="H171" s="11"/>
      <x:c r="I171" s="11"/>
      <x:c r="J171" s="11"/>
      <x:c r="K171" s="11"/>
      <x:c r="L171" s="11"/>
    </x:row>
    <x:row r="172">
      <x:c r="H172" s="11"/>
      <x:c r="I172" s="11"/>
      <x:c r="J172" s="11"/>
      <x:c r="K172" s="11"/>
      <x:c r="L172" s="11"/>
    </x:row>
    <x:row r="173">
      <x:c r="H173" s="11"/>
      <x:c r="I173" s="11"/>
      <x:c r="J173" s="11"/>
      <x:c r="K173" s="11"/>
      <x:c r="L173" s="11"/>
    </x:row>
    <x:row r="174">
      <x:c r="H174" s="11"/>
      <x:c r="I174" s="11"/>
      <x:c r="J174" s="11"/>
      <x:c r="K174" s="11"/>
      <x:c r="L174" s="11"/>
    </x:row>
    <x:row r="175">
      <x:c r="H175" s="11"/>
      <x:c r="I175" s="11"/>
      <x:c r="J175" s="11"/>
      <x:c r="K175" s="11"/>
      <x:c r="L175" s="11"/>
    </x:row>
    <x:row r="176">
      <x:c r="H176" s="11"/>
      <x:c r="I176" s="11"/>
      <x:c r="J176" s="11"/>
      <x:c r="K176" s="11"/>
      <x:c r="L176" s="11"/>
    </x:row>
    <x:row r="177">
      <x:c r="H177" s="11"/>
      <x:c r="I177" s="11"/>
      <x:c r="J177" s="11"/>
      <x:c r="K177" s="11"/>
      <x:c r="L177" s="11"/>
    </x:row>
    <x:row r="178">
      <x:c r="H178" s="11"/>
      <x:c r="I178" s="11"/>
      <x:c r="J178" s="11"/>
      <x:c r="K178" s="11"/>
      <x:c r="L178" s="11"/>
    </x:row>
    <x:row r="179">
      <x:c r="H179" s="11"/>
      <x:c r="I179" s="11"/>
      <x:c r="J179" s="11"/>
      <x:c r="K179" s="11"/>
      <x:c r="L179" s="11"/>
    </x:row>
    <x:row r="180">
      <x:c r="H180" s="11"/>
      <x:c r="I180" s="11"/>
      <x:c r="J180" s="11"/>
      <x:c r="K180" s="11"/>
      <x:c r="L180" s="11"/>
    </x:row>
    <x:row r="181">
      <x:c r="H181" s="11"/>
      <x:c r="I181" s="11"/>
      <x:c r="J181" s="11"/>
      <x:c r="K181" s="11"/>
      <x:c r="L181" s="11"/>
    </x:row>
    <x:row r="182">
      <x:c r="H182" s="11"/>
      <x:c r="I182" s="11"/>
      <x:c r="J182" s="11"/>
      <x:c r="K182" s="11"/>
      <x:c r="L182" s="11"/>
    </x:row>
    <x:row r="183">
      <x:c r="H183" s="11"/>
      <x:c r="I183" s="11"/>
      <x:c r="J183" s="11"/>
      <x:c r="K183" s="11"/>
      <x:c r="L183" s="11"/>
    </x:row>
    <x:row r="184">
      <x:c r="H184" s="11"/>
      <x:c r="I184" s="11"/>
      <x:c r="J184" s="11"/>
      <x:c r="K184" s="11"/>
      <x:c r="L184" s="11"/>
    </x:row>
    <x:row r="185">
      <x:c r="H185" s="11"/>
      <x:c r="I185" s="11"/>
      <x:c r="J185" s="11"/>
      <x:c r="K185" s="11"/>
      <x:c r="L185" s="11"/>
    </x:row>
    <x:row r="186">
      <x:c r="H186" s="11"/>
      <x:c r="I186" s="11"/>
      <x:c r="J186" s="11"/>
      <x:c r="K186" s="11"/>
      <x:c r="L186" s="11"/>
    </x:row>
    <x:row r="187">
      <x:c r="H187" s="11"/>
      <x:c r="I187" s="11"/>
      <x:c r="J187" s="11"/>
      <x:c r="K187" s="11"/>
      <x:c r="L187" s="11"/>
    </x:row>
    <x:row r="188">
      <x:c r="H188" s="11"/>
      <x:c r="I188" s="11"/>
      <x:c r="J188" s="11"/>
      <x:c r="K188" s="11"/>
      <x:c r="L188" s="11"/>
    </x:row>
    <x:row r="189">
      <x:c r="H189" s="11"/>
      <x:c r="I189" s="11"/>
      <x:c r="J189" s="11"/>
      <x:c r="K189" s="11"/>
      <x:c r="L189" s="11"/>
    </x:row>
    <x:row r="190">
      <x:c r="H190" s="11"/>
      <x:c r="I190" s="11"/>
      <x:c r="J190" s="11"/>
      <x:c r="K190" s="11"/>
      <x:c r="L190" s="11"/>
    </x:row>
    <x:row r="191">
      <x:c r="H191" s="11"/>
      <x:c r="I191" s="11"/>
      <x:c r="J191" s="11"/>
      <x:c r="K191" s="11"/>
      <x:c r="L191" s="11"/>
    </x:row>
    <x:row r="192">
      <x:c r="H192" s="11"/>
      <x:c r="I192" s="11"/>
      <x:c r="J192" s="11"/>
      <x:c r="K192" s="11"/>
      <x:c r="L192" s="11"/>
    </x:row>
    <x:row r="193">
      <x:c r="H193" s="11"/>
      <x:c r="I193" s="11"/>
      <x:c r="J193" s="11"/>
      <x:c r="K193" s="11"/>
      <x:c r="L193" s="11"/>
    </x:row>
    <x:row r="194">
      <x:c r="H194" s="11"/>
      <x:c r="I194" s="11"/>
      <x:c r="J194" s="11"/>
      <x:c r="K194" s="11"/>
      <x:c r="L194" s="11"/>
    </x:row>
    <x:row r="195">
      <x:c r="H195" s="11"/>
      <x:c r="I195" s="11"/>
      <x:c r="J195" s="11"/>
      <x:c r="K195" s="11"/>
      <x:c r="L195" s="11"/>
    </x:row>
    <x:row r="196">
      <x:c r="H196" s="11"/>
      <x:c r="I196" s="11"/>
      <x:c r="J196" s="11"/>
      <x:c r="K196" s="11"/>
      <x:c r="L196" s="11"/>
    </x:row>
    <x:row r="197">
      <x:c r="H197" s="11"/>
      <x:c r="I197" s="11"/>
      <x:c r="J197" s="11"/>
      <x:c r="K197" s="11"/>
      <x:c r="L197" s="11"/>
    </x:row>
    <x:row r="198">
      <x:c r="H198" s="11"/>
      <x:c r="I198" s="11"/>
      <x:c r="J198" s="11"/>
      <x:c r="K198" s="11"/>
      <x:c r="L198" s="11"/>
    </x:row>
    <x:row r="199">
      <x:c r="H199" s="11"/>
      <x:c r="I199" s="11"/>
      <x:c r="J199" s="11"/>
      <x:c r="K199" s="11"/>
      <x:c r="L199" s="11"/>
    </x:row>
    <x:row r="200">
      <x:c r="H200" s="11"/>
      <x:c r="I200" s="11"/>
      <x:c r="J200" s="11"/>
      <x:c r="K200" s="11"/>
      <x:c r="L200" s="11"/>
    </x:row>
    <x:row r="201">
      <x:c r="H201" s="11"/>
      <x:c r="I201" s="11"/>
      <x:c r="J201" s="11"/>
      <x:c r="K201" s="11"/>
      <x:c r="L201" s="11"/>
    </x:row>
    <x:row r="202">
      <x:c r="H202" s="11"/>
      <x:c r="I202" s="11"/>
      <x:c r="J202" s="11"/>
      <x:c r="K202" s="11"/>
      <x:c r="L202" s="11"/>
    </x:row>
    <x:row r="203">
      <x:c r="H203" s="11"/>
      <x:c r="I203" s="11"/>
      <x:c r="J203" s="11"/>
      <x:c r="K203" s="11"/>
      <x:c r="L203" s="11"/>
    </x:row>
    <x:row r="204">
      <x:c r="H204" s="11"/>
      <x:c r="I204" s="11"/>
      <x:c r="J204" s="11"/>
      <x:c r="K204" s="11"/>
      <x:c r="L204" s="11"/>
    </x:row>
  </x:sheetData>
  <x:mergeCells>
    <x:mergeCell ref="A1:L2"/>
    <x:mergeCell ref="A3:L3"/>
  </x:mergeCells>
  <x:conditionalFormatting sqref="C5:C204">
    <x:cfRule type="cellIs" dxfId="0" priority="1" operator="greaterThanOrEqual">
      <x:formula>50</x:formula>
    </x:cfRule>
  </x:conditionalFormatting>
  <x:dataValidations count="1">
    <x:dataValidation type="whole" operator="between" sqref="C5:C204">
      <x:formula1>16</x:formula1>
      <x:formula2>80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3bfa29d9ca640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2" hidden="0" customWidth="1"/>
    <x:col min="5" max="5" width="12" hidden="0" customWidth="1"/>
    <x:col min="6" max="6" width="18" hidden="0" customWidth="1"/>
    <x:col min="7" max="7" width="12" hidden="0" customWidth="1"/>
    <x:col min="8" max="8" width="18" hidden="0" customWidth="1"/>
    <x:col min="9" max="9" width="18" hidden="0" customWidth="1"/>
    <x:col min="10" max="10" width="12" hidden="0" customWidth="1"/>
  </x:cols>
  <x:sheetData>
    <x:row r="1" ht="34" customHeight="1">
      <x:c r="A1" s="3" t="str">
        <x:v>施工计划｜任务需求（不直接绑定人员）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18" t="str">
        <x:v>每个任务只出现一行；需求人数与实际分配人数不一致时，系统会生成“任务人数不足”风险。</x:v>
      </x:c>
      <x:c r="B3" s="18"/>
      <x:c r="C3" s="18"/>
      <x:c r="D3" s="18"/>
      <x:c r="E3" s="18"/>
      <x:c r="F3" s="18"/>
      <x:c r="G3" s="18"/>
      <x:c r="H3" s="18"/>
      <x:c r="I3" s="18"/>
      <x:c r="J3" s="18"/>
    </x:row>
    <x:row r="4" ht="25" customHeight="1">
      <x:c r="A4" s="27" t="str">
        <x:v>任务编号</x:v>
      </x:c>
      <x:c r="B4" s="28" t="str">
        <x:v>作业任务</x:v>
      </x:c>
      <x:c r="C4" s="28" t="str">
        <x:v>作业区域</x:v>
      </x:c>
      <x:c r="D4" s="28" t="str">
        <x:v>开始时间</x:v>
      </x:c>
      <x:c r="E4" s="28" t="str">
        <x:v>结束时间</x:v>
      </x:c>
      <x:c r="F4" s="28" t="str">
        <x:v>作业环境</x:v>
      </x:c>
      <x:c r="G4" s="28" t="str">
        <x:v>劳动强度</x:v>
      </x:c>
      <x:c r="H4" s="28" t="str">
        <x:v>所需证书</x:v>
      </x:c>
      <x:c r="I4" s="28" t="str">
        <x:v>证书要求编码</x:v>
      </x:c>
      <x:c r="J4" s="29" t="str">
        <x:v>需求人数</x:v>
      </x:c>
    </x:row>
    <x:row r="5">
      <x:c r="A5" s="32" t="str">
        <x:v>T01</x:v>
      </x:c>
      <x:c r="B5" s="32" t="str">
        <x:v>外墙砌体作业</x:v>
      </x:c>
      <x:c r="C5" s="32" t="str">
        <x:v>6F 东立面</x:v>
      </x:c>
      <x:c r="D5" s="32" t="str">
        <x:v>08:00</x:v>
      </x:c>
      <x:c r="E5" s="32" t="str">
        <x:v>12:00</x:v>
      </x:c>
      <x:c r="F5" s="32" t="str">
        <x:v>高处临边</x:v>
      </x:c>
      <x:c r="G5" s="32" t="str">
        <x:v>高</x:v>
      </x:c>
      <x:c r="H5" s="32" t="str">
        <x:v>砌筑工</x:v>
      </x:c>
      <x:c r="I5" s="32" t="str">
        <x:v>MASON</x:v>
      </x:c>
      <x:c r="J5" s="32" t="n">
        <x:v>1</x:v>
      </x:c>
    </x:row>
    <x:row r="6">
      <x:c r="A6" s="32" t="str">
        <x:v>T02</x:v>
      </x:c>
      <x:c r="B6" s="32" t="str">
        <x:v>室外混凝土养护</x:v>
      </x:c>
      <x:c r="C6" s="32" t="str">
        <x:v>基坑南侧</x:v>
      </x:c>
      <x:c r="D6" s="32" t="str">
        <x:v>11:00</x:v>
      </x:c>
      <x:c r="E6" s="32" t="str">
        <x:v>15:00</x:v>
      </x:c>
      <x:c r="F6" s="32" t="str">
        <x:v>户外高温</x:v>
      </x:c>
      <x:c r="G6" s="32" t="str">
        <x:v>中</x:v>
      </x:c>
      <x:c r="H6" s="32" t="str">
        <x:v>混凝土工</x:v>
      </x:c>
      <x:c r="I6" s="32" t="str">
        <x:v>CONCRETE</x:v>
      </x:c>
      <x:c r="J6" s="32" t="n">
        <x:v>1</x:v>
      </x:c>
    </x:row>
    <x:row r="7">
      <x:c r="A7" s="32" t="str">
        <x:v>T03</x:v>
      </x:c>
      <x:c r="B7" s="32" t="str">
        <x:v>袋装水泥搬运</x:v>
      </x:c>
      <x:c r="C7" s="32" t="str">
        <x:v>1#材料库</x:v>
      </x:c>
      <x:c r="D7" s="32" t="str">
        <x:v>09:00</x:v>
      </x:c>
      <x:c r="E7" s="32" t="str">
        <x:v>11:30</x:v>
      </x:c>
      <x:c r="F7" s="32" t="str">
        <x:v>室内搬运</x:v>
      </x:c>
      <x:c r="G7" s="32" t="str">
        <x:v>高</x:v>
      </x:c>
      <x:c r="H7" s="32" t="str"/>
      <x:c r="I7" s="32" t="str"/>
      <x:c r="J7" s="32" t="n">
        <x:v>2</x:v>
      </x:c>
    </x:row>
    <x:row r="8">
      <x:c r="A8" s="32" t="str">
        <x:v>T04</x:v>
      </x:c>
      <x:c r="B8" s="32" t="str">
        <x:v>钢筋绑扎</x:v>
      </x:c>
      <x:c r="C8" s="32" t="str">
        <x:v>B2 筏板区</x:v>
      </x:c>
      <x:c r="D8" s="32" t="str">
        <x:v>07:00</x:v>
      </x:c>
      <x:c r="E8" s="32" t="str">
        <x:v>16:00</x:v>
      </x:c>
      <x:c r="F8" s="32" t="str">
        <x:v>一般作业</x:v>
      </x:c>
      <x:c r="G8" s="32" t="str">
        <x:v>高</x:v>
      </x:c>
      <x:c r="H8" s="32" t="str">
        <x:v>钢筋工</x:v>
      </x:c>
      <x:c r="I8" s="32" t="str">
        <x:v>REBAR</x:v>
      </x:c>
      <x:c r="J8" s="32" t="n">
        <x:v>1</x:v>
      </x:c>
    </x:row>
    <x:row r="9">
      <x:c r="A9" s="32" t="str">
        <x:v>T05</x:v>
      </x:c>
      <x:c r="B9" s="32" t="str">
        <x:v>外架连墙件安装</x:v>
      </x:c>
      <x:c r="C9" s="32" t="str">
        <x:v>6F 东立面</x:v>
      </x:c>
      <x:c r="D9" s="32" t="str">
        <x:v>08:00</x:v>
      </x:c>
      <x:c r="E9" s="32" t="str">
        <x:v>12:00</x:v>
      </x:c>
      <x:c r="F9" s="32" t="str">
        <x:v>高处临边</x:v>
      </x:c>
      <x:c r="G9" s="32" t="str">
        <x:v>高</x:v>
      </x:c>
      <x:c r="H9" s="32" t="str">
        <x:v>建筑架子工</x:v>
      </x:c>
      <x:c r="I9" s="32" t="str">
        <x:v>SCAFFOLD</x:v>
      </x:c>
      <x:c r="J9" s="32" t="n">
        <x:v>1</x:v>
      </x:c>
    </x:row>
    <x:row r="10">
      <x:c r="A10" s="33" t="str">
        <x:v>T06</x:v>
      </x:c>
      <x:c r="B10" s="33" t="str">
        <x:v>叉车转运水泥</x:v>
      </x:c>
      <x:c r="C10" s="33" t="str">
        <x:v>1#材料库</x:v>
      </x:c>
      <x:c r="D10" s="33" t="str">
        <x:v>13:30</x:v>
      </x:c>
      <x:c r="E10" s="33" t="str">
        <x:v>15:30</x:v>
      </x:c>
      <x:c r="F10" s="33" t="str">
        <x:v>机械作业</x:v>
      </x:c>
      <x:c r="G10" s="33" t="str">
        <x:v>低</x:v>
      </x:c>
      <x:c r="H10" s="33" t="str">
        <x:v>叉车证</x:v>
      </x:c>
      <x:c r="I10" s="33" t="str">
        <x:v>FORKLIFT</x:v>
      </x:c>
      <x:c r="J10" s="33" t="n">
        <x:v>1</x:v>
      </x:c>
    </x:row>
  </x:sheetData>
  <x:mergeCells>
    <x:mergeCell ref="A1:J2"/>
    <x:mergeCell ref="A3:J3"/>
  </x:mergeCells>
  <x:conditionalFormatting sqref="G5:G204">
    <x:cfRule type="cellIs" dxfId="1" priority="1" operator="equal">
      <x:formula>"高"</x:formula>
    </x:cfRule>
  </x:conditionalFormatting>
  <x:dataValidations count="2">
    <x:dataValidation type="list" sqref="G5:G204">
      <x:formula1>"低,中,高"</x:formula1>
    </x:dataValidation>
    <x:dataValidation type="whole" operator="between" sqref="J5:J204">
      <x:formula1>1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cdbc7c82c8946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</x:cols>
  <x:sheetData>
    <x:row r="1" ht="34" customHeight="1">
      <x:c r="A1" s="3" t="str">
        <x:v>人员分配｜任务与工友的多对多关系</x:v>
      </x:c>
      <x:c r="B1" s="3"/>
      <x:c r="C1" s="3"/>
      <x:c r="D1" s="3"/>
      <x:c r="E1" s="3"/>
    </x:row>
    <x:row r="2" ht="34" customHeight="1">
      <x:c r="A2" s="3"/>
      <x:c r="B2" s="3"/>
      <x:c r="C2" s="3"/>
      <x:c r="D2" s="3"/>
      <x:c r="E2" s="3"/>
    </x:row>
    <x:row r="3">
      <x:c r="A3" s="18" t="str">
        <x:v>一个任务可以分配多人；同一工友不能在重叠时间承担不同任务。任务角色决定是否暴露于原作业风险。</x:v>
      </x:c>
      <x:c r="B3" s="18"/>
      <x:c r="C3" s="18"/>
      <x:c r="D3" s="18"/>
      <x:c r="E3" s="18"/>
    </x:row>
    <x:row r="4" ht="25" customHeight="1">
      <x:c r="A4" s="27" t="str">
        <x:v>分配编号</x:v>
      </x:c>
      <x:c r="B4" s="28" t="str">
        <x:v>任务编号</x:v>
      </x:c>
      <x:c r="C4" s="28" t="str">
        <x:v>工友编号</x:v>
      </x:c>
      <x:c r="D4" s="28" t="str">
        <x:v>任务角色</x:v>
      </x:c>
      <x:c r="E4" s="29" t="str">
        <x:v>状态</x:v>
      </x:c>
    </x:row>
    <x:row r="5">
      <x:c r="A5" s="32" t="str">
        <x:v>A001</x:v>
      </x:c>
      <x:c r="B5" s="32" t="str">
        <x:v>T01</x:v>
      </x:c>
      <x:c r="C5" s="32" t="str">
        <x:v>W001</x:v>
      </x:c>
      <x:c r="D5" s="32" t="str">
        <x:v>执行</x:v>
      </x:c>
      <x:c r="E5" s="32" t="str">
        <x:v>原计划</x:v>
      </x:c>
    </x:row>
    <x:row r="6">
      <x:c r="A6" s="32" t="str">
        <x:v>A002</x:v>
      </x:c>
      <x:c r="B6" s="32" t="str">
        <x:v>T02</x:v>
      </x:c>
      <x:c r="C6" s="32" t="str">
        <x:v>W002</x:v>
      </x:c>
      <x:c r="D6" s="32" t="str">
        <x:v>执行</x:v>
      </x:c>
      <x:c r="E6" s="32" t="str">
        <x:v>原计划</x:v>
      </x:c>
    </x:row>
    <x:row r="7">
      <x:c r="A7" s="32" t="str">
        <x:v>A003</x:v>
      </x:c>
      <x:c r="B7" s="32" t="str">
        <x:v>T03</x:v>
      </x:c>
      <x:c r="C7" s="32" t="str">
        <x:v>W003</x:v>
      </x:c>
      <x:c r="D7" s="32" t="str">
        <x:v>执行</x:v>
      </x:c>
      <x:c r="E7" s="32" t="str">
        <x:v>原计划</x:v>
      </x:c>
    </x:row>
    <x:row r="8">
      <x:c r="A8" s="32" t="str">
        <x:v>A004</x:v>
      </x:c>
      <x:c r="B8" s="32" t="str">
        <x:v>T03</x:v>
      </x:c>
      <x:c r="C8" s="32" t="str">
        <x:v>W018</x:v>
      </x:c>
      <x:c r="D8" s="32" t="str">
        <x:v>协作</x:v>
      </x:c>
      <x:c r="E8" s="32" t="str">
        <x:v>原计划</x:v>
      </x:c>
    </x:row>
    <x:row r="9">
      <x:c r="A9" s="32" t="str">
        <x:v>A005</x:v>
      </x:c>
      <x:c r="B9" s="32" t="str">
        <x:v>T04</x:v>
      </x:c>
      <x:c r="C9" s="32" t="str">
        <x:v>W004</x:v>
      </x:c>
      <x:c r="D9" s="32" t="str">
        <x:v>执行</x:v>
      </x:c>
      <x:c r="E9" s="32" t="str">
        <x:v>原计划</x:v>
      </x:c>
    </x:row>
    <x:row r="10">
      <x:c r="A10" s="32" t="str">
        <x:v>A006</x:v>
      </x:c>
      <x:c r="B10" s="32" t="str">
        <x:v>T05</x:v>
      </x:c>
      <x:c r="C10" s="32" t="str">
        <x:v>W009</x:v>
      </x:c>
      <x:c r="D10" s="32" t="str">
        <x:v>执行</x:v>
      </x:c>
      <x:c r="E10" s="32" t="str">
        <x:v>原计划</x:v>
      </x:c>
    </x:row>
    <x:row r="11">
      <x:c r="A11" s="33" t="str">
        <x:v>A007</x:v>
      </x:c>
      <x:c r="B11" s="33" t="str">
        <x:v>T06</x:v>
      </x:c>
      <x:c r="C11" s="33" t="str">
        <x:v>W010</x:v>
      </x:c>
      <x:c r="D11" s="33" t="str">
        <x:v>设备操作</x:v>
      </x:c>
      <x:c r="E11" s="33" t="str">
        <x:v>原计划</x:v>
      </x:c>
    </x:row>
  </x:sheetData>
  <x:mergeCells>
    <x:mergeCell ref="A1:E2"/>
    <x:mergeCell ref="A3:E3"/>
  </x:mergeCells>
  <x:dataValidations count="2">
    <x:dataValidation type="list" sqref="D5:D404">
      <x:formula1>"执行,协作,经验指导,辅助巡检,设备操作"</x:formula1>
    </x:dataValidation>
    <x:dataValidation type="list" sqref="E5:E404">
      <x:formula1>"原计划,调整后"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c6c77da58049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34" customHeight="1">
      <x:c r="A1" s="3" t="str">
        <x:v>字段字典｜口径与约束</x:v>
      </x:c>
      <x:c r="B1" s="3"/>
      <x:c r="C1" s="3"/>
      <x:c r="D1" s="3"/>
      <x:c r="E1" s="3"/>
      <x:c r="F1" s="3"/>
    </x:row>
    <x:row r="2" ht="34" customHeight="1">
      <x:c r="A2" s="3"/>
      <x:c r="B2" s="3"/>
      <x:c r="C2" s="3"/>
      <x:c r="D2" s="3"/>
      <x:c r="E2" s="3"/>
      <x:c r="F2" s="3"/>
    </x:row>
    <x:row r="4" ht="25" customHeight="1">
      <x:c r="A4" s="27" t="str">
        <x:v>工作表</x:v>
      </x:c>
      <x:c r="B4" s="28" t="str">
        <x:v>字段</x:v>
      </x:c>
      <x:c r="C4" s="28" t="str">
        <x:v>是否必填</x:v>
      </x:c>
      <x:c r="D4" s="28" t="str">
        <x:v>格式</x:v>
      </x:c>
      <x:c r="E4" s="28" t="str">
        <x:v>业务含义</x:v>
      </x:c>
      <x:c r="F4" s="29" t="str">
        <x:v>错误处理</x:v>
      </x:c>
    </x:row>
    <x:row r="5">
      <x:c r="A5" s="34" t="str">
        <x:v>工友档案</x:v>
      </x:c>
      <x:c r="B5" s="34" t="str">
        <x:v>证书编码</x:v>
      </x:c>
      <x:c r="C5" s="34" t="str">
        <x:v>条件必填</x:v>
      </x:c>
      <x:c r="D5" s="34" t="str">
        <x:v>大写编码，可用顿号分隔</x:v>
      </x:c>
      <x:c r="E5" s="34" t="str">
        <x:v>用于硬性资格匹配</x:v>
      </x:c>
      <x:c r="F5" s="34" t="str">
        <x:v>缺失时产生资格复核风险</x:v>
      </x:c>
    </x:row>
    <x:row r="6">
      <x:c r="A6" s="34" t="str">
        <x:v>工友档案</x:v>
      </x:c>
      <x:c r="B6" s="34" t="str">
        <x:v>适岗信息来源/有效期</x:v>
      </x:c>
      <x:c r="C6" s="34" t="str">
        <x:v>必填</x:v>
      </x:c>
      <x:c r="D6" s="34" t="str">
        <x:v>文本 / YYYY-MM-DD</x:v>
      </x:c>
      <x:c r="E6" s="34" t="str">
        <x:v>说明标签来源与时效</x:v>
      </x:c>
      <x:c r="F6" s="34" t="str">
        <x:v>过期时应重新复核</x:v>
      </x:c>
    </x:row>
    <x:row r="7">
      <x:c r="A7" s="34" t="str">
        <x:v>施工计划</x:v>
      </x:c>
      <x:c r="B7" s="34" t="str">
        <x:v>需求人数</x:v>
      </x:c>
      <x:c r="C7" s="34" t="str">
        <x:v>必填</x:v>
      </x:c>
      <x:c r="D7" s="34" t="str">
        <x:v>1-99整数</x:v>
      </x:c>
      <x:c r="E7" s="34" t="str">
        <x:v>任务最低人员数量</x:v>
      </x:c>
      <x:c r="F7" s="34" t="str">
        <x:v>分配不足形成高风险</x:v>
      </x:c>
    </x:row>
    <x:row r="8">
      <x:c r="A8" s="34" t="str">
        <x:v>人员分配</x:v>
      </x:c>
      <x:c r="B8" s="34" t="str">
        <x:v>任务角色</x:v>
      </x:c>
      <x:c r="C8" s="34" t="str">
        <x:v>必填</x:v>
      </x:c>
      <x:c r="D8" s="34" t="str">
        <x:v>下拉选项</x:v>
      </x:c>
      <x:c r="E8" s="34" t="str">
        <x:v>区分执行暴露与经验辅助</x:v>
      </x:c>
      <x:c r="F8" s="34" t="str">
        <x:v>未知角色按非执行处理</x:v>
      </x:c>
    </x:row>
    <x:row r="9">
      <x:c r="A9" s="34" t="str">
        <x:v>人员分配</x:v>
      </x:c>
      <x:c r="B9" s="34" t="str">
        <x:v>任务编号/工友编号</x:v>
      </x:c>
      <x:c r="C9" s="34" t="str">
        <x:v>必填</x:v>
      </x:c>
      <x:c r="D9" s="34" t="str">
        <x:v>必须引用已有编号</x:v>
      </x:c>
      <x:c r="E9" s="34" t="str">
        <x:v>建立多对多关系</x:v>
      </x:c>
      <x:c r="F9" s="34" t="str">
        <x:v>引用不存在则拒绝导入</x:v>
      </x:c>
    </x:row>
    <x:row r="10">
      <x:c r="A10" s="35" t="str">
        <x:v>最终计划</x:v>
      </x:c>
      <x:c r="B10" s="35" t="str">
        <x:v>调整后任务与分配</x:v>
      </x:c>
      <x:c r="C10" s="35" t="str">
        <x:v>系统生成</x:v>
      </x:c>
      <x:c r="D10" s="35" t="str">
        <x:v>只读导出</x:v>
      </x:c>
      <x:c r="E10" s="35" t="str">
        <x:v>仅含已执行决策</x:v>
      </x:c>
      <x:c r="F10" s="35" t="str">
        <x:v>未执行建议不得进入</x:v>
      </x:c>
    </x:row>
    <x:row r="11">
      <x:c r="A11" s="11"/>
      <x:c r="B11" s="11"/>
      <x:c r="C11" s="11"/>
      <x:c r="D11" s="11"/>
      <x:c r="E11" s="11"/>
      <x:c r="F11" s="11"/>
    </x:row>
    <x:row r="12">
      <x:c r="A12" s="11"/>
      <x:c r="B12" s="11"/>
      <x:c r="C12" s="11"/>
      <x:c r="D12" s="11"/>
      <x:c r="E12" s="11"/>
      <x:c r="F12" s="11"/>
    </x:row>
    <x:row r="13">
      <x:c r="A13" s="11"/>
      <x:c r="B13" s="11"/>
      <x:c r="C13" s="11"/>
      <x:c r="D13" s="11"/>
      <x:c r="E13" s="11"/>
      <x:c r="F13" s="11"/>
    </x:row>
    <x:row r="14">
      <x:c r="A14" s="11"/>
      <x:c r="B14" s="11"/>
      <x:c r="C14" s="11"/>
      <x:c r="D14" s="11"/>
      <x:c r="E14" s="11"/>
      <x:c r="F14" s="11"/>
    </x:row>
    <x:row r="15">
      <x:c r="A15" s="11"/>
      <x:c r="B15" s="11"/>
      <x:c r="C15" s="11"/>
      <x:c r="D15" s="11"/>
      <x:c r="E15" s="11"/>
      <x:c r="F15" s="11"/>
    </x:row>
    <x:row r="16">
      <x:c r="A16" s="11"/>
      <x:c r="B16" s="11"/>
      <x:c r="C16" s="11"/>
      <x:c r="D16" s="11"/>
      <x:c r="E16" s="11"/>
      <x:c r="F16" s="11"/>
    </x:row>
    <x:row r="17">
      <x:c r="A17" s="11"/>
      <x:c r="B17" s="11"/>
      <x:c r="C17" s="11"/>
      <x:c r="D17" s="11"/>
      <x:c r="E17" s="11"/>
      <x:c r="F17" s="11"/>
    </x:row>
    <x:row r="18">
      <x:c r="A18" s="11"/>
      <x:c r="B18" s="11"/>
      <x:c r="C18" s="11"/>
      <x:c r="D18" s="11"/>
      <x:c r="E18" s="11"/>
      <x:c r="F18" s="11"/>
    </x:row>
    <x:row r="19">
      <x:c r="A19" s="11"/>
      <x:c r="B19" s="11"/>
      <x:c r="C19" s="11"/>
      <x:c r="D19" s="11"/>
      <x:c r="E19" s="11"/>
      <x:c r="F19" s="11"/>
    </x:row>
    <x:row r="20">
      <x:c r="A20" s="11"/>
      <x:c r="B20" s="11"/>
      <x:c r="C20" s="11"/>
      <x:c r="D20" s="11"/>
      <x:c r="E20" s="11"/>
      <x:c r="F20" s="11"/>
    </x:row>
  </x:sheetData>
  <x:mergeCells>
    <x:mergeCell ref="A1:F2"/>
  </x:mergeCells>
  <x:pageMargins left="0.7" right="0.7" top="0.75" bottom="0.75" header="0.3" footer="0.3"/>
</x:worksheet>
</file>